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6a55bce67e3aec/Desktop/Lake Toba/"/>
    </mc:Choice>
  </mc:AlternateContent>
  <xr:revisionPtr revIDLastSave="101" documentId="11_C845EB2C0B9C11B3202D0F4FA715C695BB2F57AE" xr6:coauthVersionLast="47" xr6:coauthVersionMax="47" xr10:uidLastSave="{E1B31BB6-8A35-464B-968C-B90508E4A789}"/>
  <bookViews>
    <workbookView xWindow="-120" yWindow="-120" windowWidth="29040" windowHeight="16440" activeTab="1" xr2:uid="{00000000-000D-0000-FFFF-FFFF00000000}"/>
  </bookViews>
  <sheets>
    <sheet name="Property_Data" sheetId="1" r:id="rId1"/>
    <sheet name="Tourism_Arrivals" sheetId="2" r:id="rId2"/>
    <sheet name="Occupancy_Cal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3" i="1"/>
  <c r="P4" i="1"/>
  <c r="P5" i="1"/>
  <c r="P6" i="1"/>
  <c r="P7" i="1"/>
  <c r="P8" i="1"/>
  <c r="P9" i="1"/>
  <c r="P10" i="1"/>
  <c r="P11" i="1"/>
  <c r="P12" i="1"/>
  <c r="P2" i="1"/>
  <c r="O14" i="1"/>
  <c r="B3" i="3"/>
</calcChain>
</file>

<file path=xl/sharedStrings.xml><?xml version="1.0" encoding="utf-8"?>
<sst xmlns="http://schemas.openxmlformats.org/spreadsheetml/2006/main" count="176" uniqueCount="104">
  <si>
    <t>Date</t>
  </si>
  <si>
    <t>2025-06-01</t>
  </si>
  <si>
    <t>Indonesia</t>
  </si>
  <si>
    <t>2025-07-01</t>
  </si>
  <si>
    <t>2025-08-01</t>
  </si>
  <si>
    <t>Malaysia</t>
  </si>
  <si>
    <t>Netherlands</t>
  </si>
  <si>
    <t>2025-09-01</t>
  </si>
  <si>
    <t>China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</si>
  <si>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</si>
  <si>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</si>
  <si>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</si>
  <si>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</si>
  <si>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</si>
  <si>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</si>
  <si>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</si>
  <si>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</si>
  <si>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Note: Occupancy Rate = Total_Occupied_Nights / Total_Available_Nights × 100</t>
  </si>
  <si>
    <t>Year</t>
  </si>
  <si>
    <t>Month</t>
  </si>
  <si>
    <t>2022-01-01</t>
  </si>
  <si>
    <t>Jan</t>
  </si>
  <si>
    <t>Estimated from cumulative totals</t>
  </si>
  <si>
    <t>2022-02-01</t>
  </si>
  <si>
    <t>Feb</t>
  </si>
  <si>
    <t>2022-03-01</t>
  </si>
  <si>
    <t>Mar</t>
  </si>
  <si>
    <t>2022-04-01</t>
  </si>
  <si>
    <t>Apr</t>
  </si>
  <si>
    <t>2022-05-01</t>
  </si>
  <si>
    <t>May</t>
  </si>
  <si>
    <t>2022-06-01</t>
  </si>
  <si>
    <t>Jun</t>
  </si>
  <si>
    <t>2022-07-01</t>
  </si>
  <si>
    <t>Jul</t>
  </si>
  <si>
    <t>2022-08-01</t>
  </si>
  <si>
    <t>Aug</t>
  </si>
  <si>
    <t>2022-09-01</t>
  </si>
  <si>
    <t>Sep</t>
  </si>
  <si>
    <t>2022-10-01</t>
  </si>
  <si>
    <t>Oct</t>
  </si>
  <si>
    <t>2022-11-01</t>
  </si>
  <si>
    <t>Nov</t>
  </si>
  <si>
    <t>2022-12-01</t>
  </si>
  <si>
    <t>Dec</t>
  </si>
  <si>
    <t>2023-01-01</t>
  </si>
  <si>
    <t>Confirmed - BPS press release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</si>
  <si>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</si>
  <si>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</si>
  <si>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</si>
  <si>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</si>
  <si>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</si>
  <si>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</si>
  <si>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</si>
  <si>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</si>
  <si>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</si>
  <si>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</si>
  <si>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</si>
  <si>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</si>
  <si>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</si>
  <si>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</si>
  <si>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</si>
  <si>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</si>
  <si>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</si>
  <si>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</si>
  <si>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</si>
  <si>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</si>
  <si>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</si>
  <si>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</si>
  <si>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</si>
  <si>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This sheet shows how Occupancy Rate Pct is calculated</t>
  </si>
  <si>
    <t>Formula:</t>
  </si>
  <si>
    <t>In Power BI DAX:</t>
  </si>
  <si>
    <t>Occupancy Rate % = DIVIDE(SUM(Property_Data[Total_Occupied_Nights]), SUM(Property_Data[Total_Available_Nights])) * 100</t>
  </si>
  <si>
    <t>Note:</t>
  </si>
  <si>
    <t>Use DAX measure in Power BI rather than the pre-calculated column for accurate filtering</t>
  </si>
  <si>
    <t>Luxembourg</t>
  </si>
  <si>
    <t>Month Name</t>
  </si>
  <si>
    <t>Foreign Arrivals</t>
  </si>
  <si>
    <t>Hotel Occupancy Pct</t>
  </si>
  <si>
    <t>Avg Stay Days</t>
  </si>
  <si>
    <t>YoY Growth Pct</t>
  </si>
  <si>
    <t>Data Confirmed</t>
  </si>
  <si>
    <t>Active Listings</t>
  </si>
  <si>
    <t>Total Available Nights</t>
  </si>
  <si>
    <t>Occupied Airbnb</t>
  </si>
  <si>
    <t>Occupied Offline</t>
  </si>
  <si>
    <t>Total Occupied Nights</t>
  </si>
  <si>
    <t>Total Bookings</t>
  </si>
  <si>
    <t>Occupied Bookingcom</t>
  </si>
  <si>
    <t>Avg Length of Stay Days</t>
  </si>
  <si>
    <t>Review Score</t>
  </si>
  <si>
    <t>Top Nationality</t>
  </si>
  <si>
    <t>International Pct</t>
  </si>
  <si>
    <t>Domestic Pct</t>
  </si>
  <si>
    <t>Nationality Notes</t>
  </si>
  <si>
    <t xml:space="preserve">Australia </t>
  </si>
  <si>
    <t>Spain</t>
  </si>
  <si>
    <t>Hong Kong</t>
  </si>
  <si>
    <t>Germany</t>
  </si>
  <si>
    <t>USA</t>
  </si>
  <si>
    <t>Lithuania</t>
  </si>
  <si>
    <t>Singapore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</si>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</sst>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4" fillId="0" borderId="0" xfId="0" applyFont="1"/>
    <xf numFmtId="0" fontId="2" fillId="0" borderId="0" xfId="0" applyFont="1"/>
    <xf numFmtId="0" fontId="2" fillId="3" borderId="0" xfId="0" applyFont="1" applyFill="1"/>
    <xf numFmtId="10" fontId="1" fillId="2" borderId="0" xfId="0" applyNumberFormat="1" applyFont="1" applyFill="1" applyAlignment="1">
      <alignment horizontal="center" vertical="center"/>
    </xf>
    <xf numFmtId="10" fontId="2" fillId="3" borderId="0" xfId="0" applyNumberFormat="1" applyFont="1" applyFill="1"/>
    <xf numFmtId="10" fontId="0" fillId="0" borderId="0" xfId="0" applyNumberForma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pane ySplit="1" topLeftCell="A2" activePane="bottomLeft" state="frozen"/>
      <selection pane="bottomLeft" activeCell="O16" sqref="O16"/>
    </sheetView>
  </sheetViews>
  <sheetFormatPr defaultRowHeight="15" x14ac:dyDescent="0.25"/>
  <cols>
    <col min="1" max="1" width="13" customWidth="1"/>
    <col min="2" max="2" width="18" customWidth="1"/>
    <col min="3" max="3" width="25" customWidth="1"/>
    <col min="4" max="4" width="18" customWidth="1"/>
    <col min="5" max="5" width="23" customWidth="1"/>
    <col min="6" max="6" width="19" customWidth="1"/>
    <col min="7" max="7" width="24" customWidth="1"/>
    <col min="8" max="8" width="17" customWidth="1"/>
    <col min="9" max="9" width="26" customWidth="1"/>
    <col min="10" max="10" width="15" customWidth="1"/>
    <col min="11" max="11" width="18" customWidth="1"/>
    <col min="12" max="13" width="22" customWidth="1"/>
    <col min="14" max="14" width="30" customWidth="1"/>
    <col min="15" max="15" width="14.5703125" bestFit="1" customWidth="1"/>
    <col min="16" max="16" width="9.140625" style="9"/>
  </cols>
  <sheetData>
    <row r="1" spans="1:16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89</v>
      </c>
      <c r="F1" s="1" t="s">
        <v>86</v>
      </c>
      <c r="G1" s="1" t="s">
        <v>87</v>
      </c>
      <c r="H1" s="1" t="s">
        <v>88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88</v>
      </c>
      <c r="P1" s="7" t="s">
        <v>103</v>
      </c>
    </row>
    <row r="2" spans="1:16" x14ac:dyDescent="0.25">
      <c r="A2" s="2" t="s">
        <v>1</v>
      </c>
      <c r="B2" s="2">
        <v>1</v>
      </c>
      <c r="C2" s="2">
        <v>31</v>
      </c>
      <c r="D2" s="2">
        <v>1</v>
      </c>
      <c r="E2" s="2">
        <v>0</v>
      </c>
      <c r="F2" s="2">
        <v>0</v>
      </c>
      <c r="G2" s="2">
        <v>1</v>
      </c>
      <c r="H2" s="2">
        <v>1</v>
      </c>
      <c r="I2" s="2">
        <v>1</v>
      </c>
      <c r="J2" s="2">
        <v>5</v>
      </c>
      <c r="K2" s="2" t="s">
        <v>2</v>
      </c>
      <c r="L2" s="2">
        <v>0</v>
      </c>
      <c r="M2" s="2">
        <v>1</v>
      </c>
      <c r="N2" s="2" t="s">
        <v>2</v>
      </c>
      <c r="O2" s="6">
        <v>135</v>
      </c>
      <c r="P2" s="8">
        <f>O2/$O$14</f>
        <v>0.71808510638297873</v>
      </c>
    </row>
    <row r="3" spans="1:16" x14ac:dyDescent="0.25">
      <c r="A3" s="3" t="s">
        <v>3</v>
      </c>
      <c r="B3" s="3">
        <v>1</v>
      </c>
      <c r="C3" s="3">
        <v>28</v>
      </c>
      <c r="D3" s="3">
        <v>10</v>
      </c>
      <c r="E3" s="3">
        <v>0</v>
      </c>
      <c r="F3" s="3">
        <v>0</v>
      </c>
      <c r="G3" s="3">
        <v>10</v>
      </c>
      <c r="H3" s="3">
        <v>4</v>
      </c>
      <c r="I3" s="3">
        <v>2.5</v>
      </c>
      <c r="J3" s="3">
        <v>5</v>
      </c>
      <c r="K3" s="3" t="s">
        <v>2</v>
      </c>
      <c r="L3" s="3">
        <v>0.5</v>
      </c>
      <c r="M3" s="3">
        <v>0.5</v>
      </c>
      <c r="N3" s="3" t="s">
        <v>5</v>
      </c>
      <c r="O3" s="5">
        <v>27</v>
      </c>
      <c r="P3" s="8">
        <f>O3/$O$14</f>
        <v>0.14361702127659576</v>
      </c>
    </row>
    <row r="4" spans="1:16" x14ac:dyDescent="0.25">
      <c r="A4" s="2" t="s">
        <v>4</v>
      </c>
      <c r="B4" s="2">
        <v>1</v>
      </c>
      <c r="C4" s="2">
        <v>31</v>
      </c>
      <c r="D4" s="2">
        <v>12</v>
      </c>
      <c r="E4" s="2">
        <v>0</v>
      </c>
      <c r="F4" s="2">
        <v>0</v>
      </c>
      <c r="G4" s="2">
        <v>12</v>
      </c>
      <c r="H4" s="2">
        <v>7</v>
      </c>
      <c r="I4" s="2">
        <v>1.714285714285714</v>
      </c>
      <c r="J4" s="2">
        <v>5</v>
      </c>
      <c r="K4" s="2" t="s">
        <v>5</v>
      </c>
      <c r="L4" s="2">
        <v>0.5714285714285714</v>
      </c>
      <c r="M4" s="2">
        <v>0.42857142857142849</v>
      </c>
      <c r="N4" s="2" t="s">
        <v>96</v>
      </c>
      <c r="O4" s="6">
        <v>5</v>
      </c>
      <c r="P4" s="8">
        <f t="shared" ref="P4:P12" si="0">O4/$O$14</f>
        <v>2.6595744680851064E-2</v>
      </c>
    </row>
    <row r="5" spans="1:16" x14ac:dyDescent="0.25">
      <c r="A5" s="3" t="s">
        <v>7</v>
      </c>
      <c r="B5" s="3">
        <v>1</v>
      </c>
      <c r="C5" s="3">
        <v>30</v>
      </c>
      <c r="D5" s="3">
        <v>5</v>
      </c>
      <c r="E5" s="3">
        <v>0</v>
      </c>
      <c r="F5" s="3">
        <v>0</v>
      </c>
      <c r="G5" s="3">
        <v>5</v>
      </c>
      <c r="H5" s="3">
        <v>4</v>
      </c>
      <c r="I5" s="3">
        <v>1.25</v>
      </c>
      <c r="J5" s="3">
        <v>5</v>
      </c>
      <c r="K5" s="3" t="s">
        <v>2</v>
      </c>
      <c r="L5" s="3">
        <v>0.25</v>
      </c>
      <c r="M5" s="3">
        <v>0.75</v>
      </c>
      <c r="N5" s="3" t="s">
        <v>6</v>
      </c>
      <c r="O5" s="5">
        <v>4</v>
      </c>
      <c r="P5" s="8">
        <f t="shared" si="0"/>
        <v>2.1276595744680851E-2</v>
      </c>
    </row>
    <row r="6" spans="1:16" x14ac:dyDescent="0.25">
      <c r="A6" s="2" t="s">
        <v>9</v>
      </c>
      <c r="B6" s="2">
        <v>1</v>
      </c>
      <c r="C6" s="2">
        <v>31</v>
      </c>
      <c r="D6" s="2">
        <v>8</v>
      </c>
      <c r="E6" s="2">
        <v>0</v>
      </c>
      <c r="F6" s="2">
        <v>0</v>
      </c>
      <c r="G6" s="2">
        <v>8</v>
      </c>
      <c r="H6" s="2">
        <v>4</v>
      </c>
      <c r="I6" s="2">
        <v>2</v>
      </c>
      <c r="J6" s="2">
        <v>5</v>
      </c>
      <c r="K6" s="2" t="s">
        <v>5</v>
      </c>
      <c r="L6" s="2">
        <v>0.5</v>
      </c>
      <c r="M6" s="2">
        <v>0.5</v>
      </c>
      <c r="N6" s="2" t="s">
        <v>97</v>
      </c>
      <c r="O6" s="6">
        <v>3</v>
      </c>
      <c r="P6" s="8">
        <f t="shared" si="0"/>
        <v>1.5957446808510637E-2</v>
      </c>
    </row>
    <row r="7" spans="1:16" x14ac:dyDescent="0.25">
      <c r="A7" s="3" t="s">
        <v>10</v>
      </c>
      <c r="B7" s="3">
        <v>11</v>
      </c>
      <c r="C7" s="3">
        <v>330</v>
      </c>
      <c r="D7" s="3">
        <v>5</v>
      </c>
      <c r="E7" s="3">
        <v>0</v>
      </c>
      <c r="F7" s="3">
        <v>0</v>
      </c>
      <c r="G7" s="3">
        <v>5</v>
      </c>
      <c r="H7" s="3">
        <v>2</v>
      </c>
      <c r="I7" s="3">
        <v>2.5</v>
      </c>
      <c r="J7" s="3">
        <v>5</v>
      </c>
      <c r="K7" s="3" t="s">
        <v>2</v>
      </c>
      <c r="L7" s="3">
        <v>0</v>
      </c>
      <c r="M7" s="3">
        <v>1</v>
      </c>
      <c r="N7" s="3" t="s">
        <v>98</v>
      </c>
      <c r="O7" s="5">
        <v>3</v>
      </c>
      <c r="P7" s="8">
        <f t="shared" si="0"/>
        <v>1.5957446808510637E-2</v>
      </c>
    </row>
    <row r="8" spans="1:16" x14ac:dyDescent="0.25">
      <c r="A8" s="2" t="s">
        <v>11</v>
      </c>
      <c r="B8" s="2">
        <v>11</v>
      </c>
      <c r="C8" s="2">
        <v>341</v>
      </c>
      <c r="D8" s="2">
        <v>10</v>
      </c>
      <c r="E8" s="2">
        <v>4</v>
      </c>
      <c r="F8" s="2">
        <v>10</v>
      </c>
      <c r="G8" s="2">
        <v>24</v>
      </c>
      <c r="H8" s="2">
        <v>22</v>
      </c>
      <c r="I8" s="2">
        <v>1.0909090909090911</v>
      </c>
      <c r="J8" s="2">
        <v>5</v>
      </c>
      <c r="K8" s="2" t="s">
        <v>5</v>
      </c>
      <c r="L8" s="2">
        <v>0.59090909090909083</v>
      </c>
      <c r="M8" s="2">
        <v>0.40909090909090912</v>
      </c>
      <c r="N8" s="2" t="s">
        <v>99</v>
      </c>
      <c r="O8" s="6">
        <v>3</v>
      </c>
      <c r="P8" s="8">
        <f t="shared" si="0"/>
        <v>1.5957446808510637E-2</v>
      </c>
    </row>
    <row r="9" spans="1:16" x14ac:dyDescent="0.25">
      <c r="A9" s="3" t="s">
        <v>12</v>
      </c>
      <c r="B9" s="3">
        <v>11</v>
      </c>
      <c r="C9" s="3">
        <v>341</v>
      </c>
      <c r="D9" s="3">
        <v>14</v>
      </c>
      <c r="E9" s="3">
        <v>17</v>
      </c>
      <c r="F9" s="3">
        <v>3</v>
      </c>
      <c r="G9" s="3">
        <v>34</v>
      </c>
      <c r="H9" s="3">
        <v>19</v>
      </c>
      <c r="I9" s="3">
        <v>1.7894736842105261</v>
      </c>
      <c r="J9" s="3">
        <v>5</v>
      </c>
      <c r="K9" s="3" t="s">
        <v>2</v>
      </c>
      <c r="L9" s="3">
        <v>0.36842105263157898</v>
      </c>
      <c r="M9" s="3">
        <v>0.63157894736842102</v>
      </c>
      <c r="N9" s="3" t="s">
        <v>100</v>
      </c>
      <c r="O9" s="5">
        <v>1</v>
      </c>
      <c r="P9" s="8">
        <f t="shared" si="0"/>
        <v>5.3191489361702126E-3</v>
      </c>
    </row>
    <row r="10" spans="1:16" x14ac:dyDescent="0.25">
      <c r="A10" s="2" t="s">
        <v>13</v>
      </c>
      <c r="B10" s="2">
        <v>11</v>
      </c>
      <c r="C10" s="2">
        <v>330</v>
      </c>
      <c r="D10" s="2">
        <v>17</v>
      </c>
      <c r="E10" s="2">
        <v>68</v>
      </c>
      <c r="F10" s="2">
        <v>5</v>
      </c>
      <c r="G10" s="2">
        <v>90</v>
      </c>
      <c r="H10" s="2">
        <v>43</v>
      </c>
      <c r="I10" s="2">
        <v>2.0930232558139541</v>
      </c>
      <c r="J10" s="2">
        <v>5</v>
      </c>
      <c r="K10" s="2" t="s">
        <v>2</v>
      </c>
      <c r="L10" s="2">
        <v>0.44186046511627908</v>
      </c>
      <c r="M10" s="2">
        <v>0.55813953488372092</v>
      </c>
      <c r="N10" s="2" t="s">
        <v>101</v>
      </c>
      <c r="O10" s="6">
        <v>2</v>
      </c>
      <c r="P10" s="8">
        <f t="shared" si="0"/>
        <v>1.0638297872340425E-2</v>
      </c>
    </row>
    <row r="11" spans="1:16" x14ac:dyDescent="0.25">
      <c r="A11" s="3" t="s">
        <v>14</v>
      </c>
      <c r="B11" s="3">
        <v>11</v>
      </c>
      <c r="C11" s="3">
        <v>341</v>
      </c>
      <c r="D11" s="3">
        <v>10</v>
      </c>
      <c r="E11" s="3">
        <v>39</v>
      </c>
      <c r="F11" s="3">
        <v>9</v>
      </c>
      <c r="G11" s="3">
        <v>58</v>
      </c>
      <c r="H11" s="3">
        <v>36</v>
      </c>
      <c r="I11" s="3">
        <v>1.6111111111111109</v>
      </c>
      <c r="J11" s="3">
        <v>5</v>
      </c>
      <c r="K11" s="3" t="s">
        <v>2</v>
      </c>
      <c r="L11" s="3">
        <v>2.777777777777779E-2</v>
      </c>
      <c r="M11" s="3">
        <v>0.97222222222222221</v>
      </c>
      <c r="N11" s="3" t="s">
        <v>102</v>
      </c>
      <c r="O11" s="5">
        <v>2</v>
      </c>
      <c r="P11" s="8">
        <f t="shared" si="0"/>
        <v>1.0638297872340425E-2</v>
      </c>
    </row>
    <row r="12" spans="1:16" x14ac:dyDescent="0.25">
      <c r="A12" s="2" t="s">
        <v>15</v>
      </c>
      <c r="B12" s="2">
        <v>11</v>
      </c>
      <c r="C12" s="2">
        <v>330</v>
      </c>
      <c r="D12" s="2">
        <v>3</v>
      </c>
      <c r="E12" s="2">
        <v>16</v>
      </c>
      <c r="F12" s="2">
        <v>3</v>
      </c>
      <c r="G12" s="2">
        <v>22</v>
      </c>
      <c r="H12" s="2">
        <v>12</v>
      </c>
      <c r="I12" s="2">
        <v>1.833333333333333</v>
      </c>
      <c r="J12" s="2">
        <v>5</v>
      </c>
      <c r="K12" s="2" t="s">
        <v>2</v>
      </c>
      <c r="L12" s="2">
        <v>0</v>
      </c>
      <c r="M12" s="2">
        <v>1</v>
      </c>
      <c r="N12" s="2" t="s">
        <v>8</v>
      </c>
      <c r="O12" s="6">
        <v>2</v>
      </c>
      <c r="P12" s="8">
        <f t="shared" si="0"/>
        <v>1.0638297872340425E-2</v>
      </c>
    </row>
    <row r="13" spans="1:16" x14ac:dyDescent="0.25">
      <c r="A13" s="3" t="s">
        <v>16</v>
      </c>
      <c r="B13" s="3">
        <v>11</v>
      </c>
      <c r="C13" s="3">
        <v>341</v>
      </c>
      <c r="D13" s="3">
        <v>10</v>
      </c>
      <c r="E13" s="3">
        <v>46</v>
      </c>
      <c r="F13" s="3">
        <v>15</v>
      </c>
      <c r="G13" s="3">
        <v>71</v>
      </c>
      <c r="H13" s="3">
        <v>34</v>
      </c>
      <c r="I13" s="3">
        <v>2.0882352941176472</v>
      </c>
      <c r="J13" s="3">
        <v>5</v>
      </c>
      <c r="K13" s="3" t="s">
        <v>2</v>
      </c>
      <c r="L13" s="3">
        <v>0.1176470588235294</v>
      </c>
      <c r="M13" s="3">
        <v>0.88235294117647056</v>
      </c>
      <c r="N13" s="3" t="s">
        <v>76</v>
      </c>
      <c r="O13" s="5">
        <v>1</v>
      </c>
      <c r="P13" s="8">
        <f>O13/$O$14</f>
        <v>5.3191489361702126E-3</v>
      </c>
    </row>
    <row r="14" spans="1:16" x14ac:dyDescent="0.25">
      <c r="O14">
        <f>SUM(O2:O13)</f>
        <v>188</v>
      </c>
    </row>
    <row r="15" spans="1:16" x14ac:dyDescent="0.25">
      <c r="A15" s="10"/>
      <c r="B15" s="11"/>
      <c r="C15" s="11"/>
      <c r="D15" s="11"/>
      <c r="E15" s="11"/>
      <c r="F15" s="11"/>
    </row>
    <row r="18" spans="14:14" x14ac:dyDescent="0.25">
      <c r="N18" s="2"/>
    </row>
    <row r="19" spans="14:14" x14ac:dyDescent="0.25">
      <c r="N19" s="3"/>
    </row>
    <row r="20" spans="14:14" x14ac:dyDescent="0.25">
      <c r="N20" s="2"/>
    </row>
    <row r="21" spans="14:14" x14ac:dyDescent="0.25">
      <c r="N21" s="3"/>
    </row>
    <row r="22" spans="14:14" x14ac:dyDescent="0.25">
      <c r="N22" s="2"/>
    </row>
    <row r="23" spans="14:14" x14ac:dyDescent="0.25">
      <c r="N23" s="3"/>
    </row>
    <row r="24" spans="14:14" x14ac:dyDescent="0.25">
      <c r="N24" s="2"/>
    </row>
    <row r="25" spans="14:14" x14ac:dyDescent="0.25">
      <c r="N25" s="3"/>
    </row>
    <row r="26" spans="14:14" x14ac:dyDescent="0.25">
      <c r="N26" s="2"/>
    </row>
    <row r="28" spans="14:14" x14ac:dyDescent="0.25">
      <c r="N28" s="2"/>
    </row>
    <row r="29" spans="14:14" x14ac:dyDescent="0.25">
      <c r="N29" s="3"/>
    </row>
  </sheetData>
  <mergeCells count="1"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13" customWidth="1"/>
    <col min="2" max="2" width="7" customWidth="1"/>
    <col min="3" max="3" width="8" customWidth="1"/>
    <col min="4" max="4" width="13" customWidth="1"/>
    <col min="5" max="5" width="19" customWidth="1"/>
    <col min="6" max="6" width="22" customWidth="1"/>
    <col min="7" max="7" width="16" customWidth="1"/>
    <col min="8" max="8" width="17" customWidth="1"/>
    <col min="9" max="9" width="30" customWidth="1"/>
  </cols>
  <sheetData>
    <row r="1" spans="1:9" x14ac:dyDescent="0.25">
      <c r="A1" s="1" t="s">
        <v>0</v>
      </c>
      <c r="B1" s="1" t="s">
        <v>18</v>
      </c>
      <c r="C1" s="1" t="s">
        <v>19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 x14ac:dyDescent="0.25">
      <c r="A2" s="2" t="s">
        <v>20</v>
      </c>
      <c r="B2" s="2">
        <v>2022</v>
      </c>
      <c r="C2" s="2">
        <v>1</v>
      </c>
      <c r="D2" s="2" t="s">
        <v>21</v>
      </c>
      <c r="E2" s="2">
        <v>3200</v>
      </c>
      <c r="F2" s="2">
        <v>38.5</v>
      </c>
      <c r="G2" s="2">
        <v>1.2</v>
      </c>
      <c r="H2" s="2"/>
      <c r="I2" s="2" t="s">
        <v>22</v>
      </c>
    </row>
    <row r="3" spans="1:9" x14ac:dyDescent="0.25">
      <c r="A3" s="3" t="s">
        <v>23</v>
      </c>
      <c r="B3" s="3">
        <v>2022</v>
      </c>
      <c r="C3" s="3">
        <v>2</v>
      </c>
      <c r="D3" s="3" t="s">
        <v>24</v>
      </c>
      <c r="E3" s="3">
        <v>3800</v>
      </c>
      <c r="F3" s="3">
        <v>40.1</v>
      </c>
      <c r="G3" s="3">
        <v>1.22</v>
      </c>
      <c r="H3" s="3"/>
      <c r="I3" s="3" t="s">
        <v>22</v>
      </c>
    </row>
    <row r="4" spans="1:9" x14ac:dyDescent="0.25">
      <c r="A4" s="2" t="s">
        <v>25</v>
      </c>
      <c r="B4" s="2">
        <v>2022</v>
      </c>
      <c r="C4" s="2">
        <v>3</v>
      </c>
      <c r="D4" s="2" t="s">
        <v>26</v>
      </c>
      <c r="E4" s="2">
        <v>4100</v>
      </c>
      <c r="F4" s="2">
        <v>39.799999999999997</v>
      </c>
      <c r="G4" s="2">
        <v>1.25</v>
      </c>
      <c r="H4" s="2"/>
      <c r="I4" s="2" t="s">
        <v>22</v>
      </c>
    </row>
    <row r="5" spans="1:9" x14ac:dyDescent="0.25">
      <c r="A5" s="3" t="s">
        <v>27</v>
      </c>
      <c r="B5" s="3">
        <v>2022</v>
      </c>
      <c r="C5" s="3">
        <v>4</v>
      </c>
      <c r="D5" s="3" t="s">
        <v>28</v>
      </c>
      <c r="E5" s="3">
        <v>3900</v>
      </c>
      <c r="F5" s="3">
        <v>41.2</v>
      </c>
      <c r="G5" s="3">
        <v>1.21</v>
      </c>
      <c r="H5" s="3"/>
      <c r="I5" s="3" t="s">
        <v>22</v>
      </c>
    </row>
    <row r="6" spans="1:9" x14ac:dyDescent="0.25">
      <c r="A6" s="2" t="s">
        <v>29</v>
      </c>
      <c r="B6" s="2">
        <v>2022</v>
      </c>
      <c r="C6" s="2">
        <v>5</v>
      </c>
      <c r="D6" s="2" t="s">
        <v>30</v>
      </c>
      <c r="E6" s="2">
        <v>4200</v>
      </c>
      <c r="F6" s="2">
        <v>43.5</v>
      </c>
      <c r="G6" s="2">
        <v>1.28</v>
      </c>
      <c r="H6" s="2"/>
      <c r="I6" s="2" t="s">
        <v>22</v>
      </c>
    </row>
    <row r="7" spans="1:9" x14ac:dyDescent="0.25">
      <c r="A7" s="3" t="s">
        <v>31</v>
      </c>
      <c r="B7" s="3">
        <v>2022</v>
      </c>
      <c r="C7" s="3">
        <v>6</v>
      </c>
      <c r="D7" s="3" t="s">
        <v>32</v>
      </c>
      <c r="E7" s="3">
        <v>5100</v>
      </c>
      <c r="F7" s="3">
        <v>46</v>
      </c>
      <c r="G7" s="3">
        <v>1.3</v>
      </c>
      <c r="H7" s="3"/>
      <c r="I7" s="3" t="s">
        <v>22</v>
      </c>
    </row>
    <row r="8" spans="1:9" x14ac:dyDescent="0.25">
      <c r="A8" s="2" t="s">
        <v>33</v>
      </c>
      <c r="B8" s="2">
        <v>2022</v>
      </c>
      <c r="C8" s="2">
        <v>7</v>
      </c>
      <c r="D8" s="2" t="s">
        <v>34</v>
      </c>
      <c r="E8" s="2">
        <v>5800</v>
      </c>
      <c r="F8" s="2">
        <v>49.2</v>
      </c>
      <c r="G8" s="2">
        <v>1.35</v>
      </c>
      <c r="H8" s="2"/>
      <c r="I8" s="2" t="s">
        <v>22</v>
      </c>
    </row>
    <row r="9" spans="1:9" x14ac:dyDescent="0.25">
      <c r="A9" s="3" t="s">
        <v>35</v>
      </c>
      <c r="B9" s="3">
        <v>2022</v>
      </c>
      <c r="C9" s="3">
        <v>8</v>
      </c>
      <c r="D9" s="3" t="s">
        <v>36</v>
      </c>
      <c r="E9" s="3">
        <v>5600</v>
      </c>
      <c r="F9" s="3">
        <v>47.8</v>
      </c>
      <c r="G9" s="3">
        <v>1.33</v>
      </c>
      <c r="H9" s="3"/>
      <c r="I9" s="3" t="s">
        <v>22</v>
      </c>
    </row>
    <row r="10" spans="1:9" x14ac:dyDescent="0.25">
      <c r="A10" s="2" t="s">
        <v>37</v>
      </c>
      <c r="B10" s="2">
        <v>2022</v>
      </c>
      <c r="C10" s="2">
        <v>9</v>
      </c>
      <c r="D10" s="2" t="s">
        <v>38</v>
      </c>
      <c r="E10" s="2">
        <v>4800</v>
      </c>
      <c r="F10" s="2">
        <v>45.1</v>
      </c>
      <c r="G10" s="2">
        <v>1.29</v>
      </c>
      <c r="H10" s="2"/>
      <c r="I10" s="2" t="s">
        <v>22</v>
      </c>
    </row>
    <row r="11" spans="1:9" x14ac:dyDescent="0.25">
      <c r="A11" s="3" t="s">
        <v>39</v>
      </c>
      <c r="B11" s="3">
        <v>2022</v>
      </c>
      <c r="C11" s="3">
        <v>10</v>
      </c>
      <c r="D11" s="3" t="s">
        <v>40</v>
      </c>
      <c r="E11" s="3">
        <v>4600</v>
      </c>
      <c r="F11" s="3">
        <v>44.3</v>
      </c>
      <c r="G11" s="3">
        <v>1.27</v>
      </c>
      <c r="H11" s="3"/>
      <c r="I11" s="3" t="s">
        <v>22</v>
      </c>
    </row>
    <row r="12" spans="1:9" x14ac:dyDescent="0.25">
      <c r="A12" s="2" t="s">
        <v>41</v>
      </c>
      <c r="B12" s="2">
        <v>2022</v>
      </c>
      <c r="C12" s="2">
        <v>11</v>
      </c>
      <c r="D12" s="2" t="s">
        <v>42</v>
      </c>
      <c r="E12" s="2">
        <v>4100</v>
      </c>
      <c r="F12" s="2">
        <v>42</v>
      </c>
      <c r="G12" s="2">
        <v>1.24</v>
      </c>
      <c r="H12" s="2"/>
      <c r="I12" s="2" t="s">
        <v>22</v>
      </c>
    </row>
    <row r="13" spans="1:9" x14ac:dyDescent="0.25">
      <c r="A13" s="3" t="s">
        <v>43</v>
      </c>
      <c r="B13" s="3">
        <v>2022</v>
      </c>
      <c r="C13" s="3">
        <v>12</v>
      </c>
      <c r="D13" s="3" t="s">
        <v>44</v>
      </c>
      <c r="E13" s="3">
        <v>5200</v>
      </c>
      <c r="F13" s="3">
        <v>51</v>
      </c>
      <c r="G13" s="3">
        <v>1.38</v>
      </c>
      <c r="H13" s="3"/>
      <c r="I13" s="3" t="s">
        <v>22</v>
      </c>
    </row>
    <row r="14" spans="1:9" x14ac:dyDescent="0.25">
      <c r="A14" s="2" t="s">
        <v>45</v>
      </c>
      <c r="B14" s="2">
        <v>2023</v>
      </c>
      <c r="C14" s="2">
        <v>1</v>
      </c>
      <c r="D14" s="2" t="s">
        <v>21</v>
      </c>
      <c r="E14" s="2">
        <v>14146</v>
      </c>
      <c r="F14" s="2">
        <v>42</v>
      </c>
      <c r="G14" s="2">
        <v>1.28</v>
      </c>
      <c r="H14" s="2">
        <v>342.06</v>
      </c>
      <c r="I14" s="2" t="s">
        <v>46</v>
      </c>
    </row>
    <row r="15" spans="1:9" x14ac:dyDescent="0.25">
      <c r="A15" s="3" t="s">
        <v>47</v>
      </c>
      <c r="B15" s="3">
        <v>2023</v>
      </c>
      <c r="C15" s="3">
        <v>2</v>
      </c>
      <c r="D15" s="3" t="s">
        <v>24</v>
      </c>
      <c r="E15" s="3">
        <v>15136</v>
      </c>
      <c r="F15" s="3">
        <v>44.5</v>
      </c>
      <c r="G15" s="3">
        <v>1.3</v>
      </c>
      <c r="H15" s="3">
        <v>298.32</v>
      </c>
      <c r="I15" s="3" t="s">
        <v>22</v>
      </c>
    </row>
    <row r="16" spans="1:9" x14ac:dyDescent="0.25">
      <c r="A16" s="2" t="s">
        <v>48</v>
      </c>
      <c r="B16" s="2">
        <v>2023</v>
      </c>
      <c r="C16" s="2">
        <v>3</v>
      </c>
      <c r="D16" s="2" t="s">
        <v>26</v>
      </c>
      <c r="E16" s="2">
        <v>16196</v>
      </c>
      <c r="F16" s="2">
        <v>43</v>
      </c>
      <c r="G16" s="2">
        <v>1.32</v>
      </c>
      <c r="H16" s="2">
        <v>295.02</v>
      </c>
      <c r="I16" s="2" t="s">
        <v>22</v>
      </c>
    </row>
    <row r="17" spans="1:9" x14ac:dyDescent="0.25">
      <c r="A17" s="3" t="s">
        <v>49</v>
      </c>
      <c r="B17" s="3">
        <v>2023</v>
      </c>
      <c r="C17" s="3">
        <v>4</v>
      </c>
      <c r="D17" s="3" t="s">
        <v>28</v>
      </c>
      <c r="E17" s="3">
        <v>15800</v>
      </c>
      <c r="F17" s="3">
        <v>44.8</v>
      </c>
      <c r="G17" s="3">
        <v>1.29</v>
      </c>
      <c r="H17" s="3">
        <v>305.13</v>
      </c>
      <c r="I17" s="3" t="s">
        <v>22</v>
      </c>
    </row>
    <row r="18" spans="1:9" x14ac:dyDescent="0.25">
      <c r="A18" s="2" t="s">
        <v>50</v>
      </c>
      <c r="B18" s="2">
        <v>2023</v>
      </c>
      <c r="C18" s="2">
        <v>5</v>
      </c>
      <c r="D18" s="2" t="s">
        <v>30</v>
      </c>
      <c r="E18" s="2">
        <v>16600</v>
      </c>
      <c r="F18" s="2">
        <v>47.2</v>
      </c>
      <c r="G18" s="2">
        <v>1.33</v>
      </c>
      <c r="H18" s="2">
        <v>295.24</v>
      </c>
      <c r="I18" s="2" t="s">
        <v>22</v>
      </c>
    </row>
    <row r="19" spans="1:9" x14ac:dyDescent="0.25">
      <c r="A19" s="3" t="s">
        <v>51</v>
      </c>
      <c r="B19" s="3">
        <v>2023</v>
      </c>
      <c r="C19" s="3">
        <v>6</v>
      </c>
      <c r="D19" s="3" t="s">
        <v>32</v>
      </c>
      <c r="E19" s="3">
        <v>16781</v>
      </c>
      <c r="F19" s="3">
        <v>48.1</v>
      </c>
      <c r="G19" s="3">
        <v>1.35</v>
      </c>
      <c r="H19" s="3">
        <v>229.04</v>
      </c>
      <c r="I19" s="3" t="s">
        <v>22</v>
      </c>
    </row>
    <row r="20" spans="1:9" x14ac:dyDescent="0.25">
      <c r="A20" s="2" t="s">
        <v>52</v>
      </c>
      <c r="B20" s="2">
        <v>2023</v>
      </c>
      <c r="C20" s="2">
        <v>7</v>
      </c>
      <c r="D20" s="2" t="s">
        <v>34</v>
      </c>
      <c r="E20" s="2">
        <v>18200</v>
      </c>
      <c r="F20" s="2">
        <v>51</v>
      </c>
      <c r="G20" s="2">
        <v>1.4</v>
      </c>
      <c r="H20" s="2">
        <v>213.79</v>
      </c>
      <c r="I20" s="2" t="s">
        <v>22</v>
      </c>
    </row>
    <row r="21" spans="1:9" x14ac:dyDescent="0.25">
      <c r="A21" s="3" t="s">
        <v>53</v>
      </c>
      <c r="B21" s="3">
        <v>2023</v>
      </c>
      <c r="C21" s="3">
        <v>8</v>
      </c>
      <c r="D21" s="3" t="s">
        <v>36</v>
      </c>
      <c r="E21" s="3">
        <v>17800</v>
      </c>
      <c r="F21" s="3">
        <v>49.5</v>
      </c>
      <c r="G21" s="3">
        <v>1.38</v>
      </c>
      <c r="H21" s="3">
        <v>217.86</v>
      </c>
      <c r="I21" s="3" t="s">
        <v>22</v>
      </c>
    </row>
    <row r="22" spans="1:9" x14ac:dyDescent="0.25">
      <c r="A22" s="2" t="s">
        <v>54</v>
      </c>
      <c r="B22" s="2">
        <v>2023</v>
      </c>
      <c r="C22" s="2">
        <v>9</v>
      </c>
      <c r="D22" s="2" t="s">
        <v>38</v>
      </c>
      <c r="E22" s="2">
        <v>17008</v>
      </c>
      <c r="F22" s="2">
        <v>50.2</v>
      </c>
      <c r="G22" s="2">
        <v>1.42</v>
      </c>
      <c r="H22" s="2">
        <v>254.33</v>
      </c>
      <c r="I22" s="2" t="s">
        <v>22</v>
      </c>
    </row>
    <row r="23" spans="1:9" x14ac:dyDescent="0.25">
      <c r="A23" s="3" t="s">
        <v>55</v>
      </c>
      <c r="B23" s="3">
        <v>2023</v>
      </c>
      <c r="C23" s="3">
        <v>10</v>
      </c>
      <c r="D23" s="3" t="s">
        <v>40</v>
      </c>
      <c r="E23" s="3">
        <v>15800</v>
      </c>
      <c r="F23" s="3">
        <v>47</v>
      </c>
      <c r="G23" s="3">
        <v>1.36</v>
      </c>
      <c r="H23" s="3">
        <v>243.48</v>
      </c>
      <c r="I23" s="3" t="s">
        <v>22</v>
      </c>
    </row>
    <row r="24" spans="1:9" x14ac:dyDescent="0.25">
      <c r="A24" s="2" t="s">
        <v>56</v>
      </c>
      <c r="B24" s="2">
        <v>2023</v>
      </c>
      <c r="C24" s="2">
        <v>11</v>
      </c>
      <c r="D24" s="2" t="s">
        <v>42</v>
      </c>
      <c r="E24" s="2">
        <v>14664</v>
      </c>
      <c r="F24" s="2">
        <v>45.5</v>
      </c>
      <c r="G24" s="2">
        <v>1.33</v>
      </c>
      <c r="H24" s="2">
        <v>257.66000000000003</v>
      </c>
      <c r="I24" s="2" t="s">
        <v>22</v>
      </c>
    </row>
    <row r="25" spans="1:9" x14ac:dyDescent="0.25">
      <c r="A25" s="3" t="s">
        <v>57</v>
      </c>
      <c r="B25" s="3">
        <v>2023</v>
      </c>
      <c r="C25" s="3">
        <v>12</v>
      </c>
      <c r="D25" s="3" t="s">
        <v>44</v>
      </c>
      <c r="E25" s="3">
        <v>17600</v>
      </c>
      <c r="F25" s="3">
        <v>53.76</v>
      </c>
      <c r="G25" s="3">
        <v>1.39</v>
      </c>
      <c r="H25" s="3">
        <v>238.46</v>
      </c>
      <c r="I25" s="3" t="s">
        <v>22</v>
      </c>
    </row>
    <row r="26" spans="1:9" x14ac:dyDescent="0.25">
      <c r="A26" s="2" t="s">
        <v>58</v>
      </c>
      <c r="B26" s="2">
        <v>2024</v>
      </c>
      <c r="C26" s="2">
        <v>1</v>
      </c>
      <c r="D26" s="2" t="s">
        <v>21</v>
      </c>
      <c r="E26" s="2">
        <v>14851</v>
      </c>
      <c r="F26" s="2">
        <v>44.8</v>
      </c>
      <c r="G26" s="2">
        <v>1.28</v>
      </c>
      <c r="H26" s="2">
        <v>4.9800000000000004</v>
      </c>
      <c r="I26" s="2" t="s">
        <v>46</v>
      </c>
    </row>
    <row r="27" spans="1:9" x14ac:dyDescent="0.25">
      <c r="A27" s="3" t="s">
        <v>59</v>
      </c>
      <c r="B27" s="3">
        <v>2024</v>
      </c>
      <c r="C27" s="3">
        <v>2</v>
      </c>
      <c r="D27" s="3" t="s">
        <v>24</v>
      </c>
      <c r="E27" s="3">
        <v>24764</v>
      </c>
      <c r="F27" s="3">
        <v>48.06</v>
      </c>
      <c r="G27" s="3">
        <v>1.4</v>
      </c>
      <c r="H27" s="3">
        <v>63.61</v>
      </c>
      <c r="I27" s="3" t="s">
        <v>46</v>
      </c>
    </row>
    <row r="28" spans="1:9" x14ac:dyDescent="0.25">
      <c r="A28" s="2" t="s">
        <v>60</v>
      </c>
      <c r="B28" s="2">
        <v>2024</v>
      </c>
      <c r="C28" s="2">
        <v>3</v>
      </c>
      <c r="D28" s="2" t="s">
        <v>26</v>
      </c>
      <c r="E28" s="2">
        <v>15155</v>
      </c>
      <c r="F28" s="2">
        <v>43.49</v>
      </c>
      <c r="G28" s="2">
        <v>1.5</v>
      </c>
      <c r="H28" s="2">
        <v>-6.43</v>
      </c>
      <c r="I28" s="2" t="s">
        <v>46</v>
      </c>
    </row>
    <row r="29" spans="1:9" x14ac:dyDescent="0.25">
      <c r="A29" s="3" t="s">
        <v>61</v>
      </c>
      <c r="B29" s="3">
        <v>2024</v>
      </c>
      <c r="C29" s="3">
        <v>4</v>
      </c>
      <c r="D29" s="3" t="s">
        <v>28</v>
      </c>
      <c r="E29" s="3">
        <v>18200</v>
      </c>
      <c r="F29" s="3">
        <v>45.2</v>
      </c>
      <c r="G29" s="3">
        <v>1.32</v>
      </c>
      <c r="H29" s="3">
        <v>15.19</v>
      </c>
      <c r="I29" s="3" t="s">
        <v>22</v>
      </c>
    </row>
    <row r="30" spans="1:9" x14ac:dyDescent="0.25">
      <c r="A30" s="2" t="s">
        <v>62</v>
      </c>
      <c r="B30" s="2">
        <v>2024</v>
      </c>
      <c r="C30" s="2">
        <v>5</v>
      </c>
      <c r="D30" s="2" t="s">
        <v>30</v>
      </c>
      <c r="E30" s="2">
        <v>19500</v>
      </c>
      <c r="F30" s="2">
        <v>49.36</v>
      </c>
      <c r="G30" s="2">
        <v>1.34</v>
      </c>
      <c r="H30" s="2">
        <v>17.47</v>
      </c>
      <c r="I30" s="2" t="s">
        <v>22</v>
      </c>
    </row>
    <row r="31" spans="1:9" x14ac:dyDescent="0.25">
      <c r="A31" s="3" t="s">
        <v>63</v>
      </c>
      <c r="B31" s="3">
        <v>2024</v>
      </c>
      <c r="C31" s="3">
        <v>6</v>
      </c>
      <c r="D31" s="3" t="s">
        <v>32</v>
      </c>
      <c r="E31" s="3">
        <v>23496</v>
      </c>
      <c r="F31" s="3">
        <v>48.7</v>
      </c>
      <c r="G31" s="3">
        <v>1.35</v>
      </c>
      <c r="H31" s="3">
        <v>40.020000000000003</v>
      </c>
      <c r="I31" s="3" t="s">
        <v>46</v>
      </c>
    </row>
    <row r="32" spans="1:9" x14ac:dyDescent="0.25">
      <c r="A32" s="2" t="s">
        <v>64</v>
      </c>
      <c r="B32" s="2">
        <v>2024</v>
      </c>
      <c r="C32" s="2">
        <v>7</v>
      </c>
      <c r="D32" s="2" t="s">
        <v>34</v>
      </c>
      <c r="E32" s="2">
        <v>26000</v>
      </c>
      <c r="F32" s="2">
        <v>52.1</v>
      </c>
      <c r="G32" s="2">
        <v>1.42</v>
      </c>
      <c r="H32" s="2">
        <v>42.86</v>
      </c>
      <c r="I32" s="2" t="s">
        <v>22</v>
      </c>
    </row>
    <row r="33" spans="1:9" x14ac:dyDescent="0.25">
      <c r="A33" s="3" t="s">
        <v>65</v>
      </c>
      <c r="B33" s="3">
        <v>2024</v>
      </c>
      <c r="C33" s="3">
        <v>8</v>
      </c>
      <c r="D33" s="3" t="s">
        <v>36</v>
      </c>
      <c r="E33" s="3">
        <v>24500</v>
      </c>
      <c r="F33" s="3">
        <v>48.66</v>
      </c>
      <c r="G33" s="3">
        <v>1.35</v>
      </c>
      <c r="H33" s="3">
        <v>37.64</v>
      </c>
      <c r="I33" s="3" t="s">
        <v>22</v>
      </c>
    </row>
    <row r="34" spans="1:9" x14ac:dyDescent="0.25">
      <c r="A34" s="2" t="s">
        <v>66</v>
      </c>
      <c r="B34" s="2">
        <v>2024</v>
      </c>
      <c r="C34" s="2">
        <v>9</v>
      </c>
      <c r="D34" s="2" t="s">
        <v>38</v>
      </c>
      <c r="E34" s="2">
        <v>22637</v>
      </c>
      <c r="F34" s="2">
        <v>57.76</v>
      </c>
      <c r="G34" s="2">
        <v>1.63</v>
      </c>
      <c r="H34" s="2">
        <v>33.1</v>
      </c>
      <c r="I34" s="2" t="s">
        <v>46</v>
      </c>
    </row>
    <row r="35" spans="1:9" x14ac:dyDescent="0.25">
      <c r="A35" s="3" t="s">
        <v>67</v>
      </c>
      <c r="B35" s="3">
        <v>2024</v>
      </c>
      <c r="C35" s="3">
        <v>10</v>
      </c>
      <c r="D35" s="3" t="s">
        <v>40</v>
      </c>
      <c r="E35" s="3">
        <v>20292</v>
      </c>
      <c r="F35" s="3">
        <v>46.23</v>
      </c>
      <c r="G35" s="3">
        <v>1.34</v>
      </c>
      <c r="H35" s="3">
        <v>28.43</v>
      </c>
      <c r="I35" s="3" t="s">
        <v>46</v>
      </c>
    </row>
    <row r="36" spans="1:9" x14ac:dyDescent="0.25">
      <c r="A36" s="2" t="s">
        <v>68</v>
      </c>
      <c r="B36" s="2">
        <v>2024</v>
      </c>
      <c r="C36" s="2">
        <v>11</v>
      </c>
      <c r="D36" s="2" t="s">
        <v>42</v>
      </c>
      <c r="E36" s="2">
        <v>19322</v>
      </c>
      <c r="F36" s="2">
        <v>44.83</v>
      </c>
      <c r="G36" s="2">
        <v>1.31</v>
      </c>
      <c r="H36" s="2">
        <v>31.76</v>
      </c>
      <c r="I36" s="2" t="s">
        <v>46</v>
      </c>
    </row>
    <row r="37" spans="1:9" x14ac:dyDescent="0.25">
      <c r="A37" s="3" t="s">
        <v>69</v>
      </c>
      <c r="B37" s="3">
        <v>2024</v>
      </c>
      <c r="C37" s="3">
        <v>12</v>
      </c>
      <c r="D37" s="3" t="s">
        <v>44</v>
      </c>
      <c r="E37" s="3">
        <v>21000</v>
      </c>
      <c r="F37" s="3">
        <v>50.1</v>
      </c>
      <c r="G37" s="3">
        <v>1.38</v>
      </c>
      <c r="H37" s="3">
        <v>19.32</v>
      </c>
      <c r="I37" s="3" t="s">
        <v>22</v>
      </c>
    </row>
    <row r="39" spans="1:9" x14ac:dyDescent="0.25">
      <c r="A39" s="10" t="s">
        <v>17</v>
      </c>
      <c r="B39" s="11"/>
      <c r="C39" s="11"/>
      <c r="D39" s="11"/>
      <c r="E39" s="11"/>
      <c r="F39" s="11"/>
    </row>
  </sheetData>
  <mergeCells count="1">
    <mergeCell ref="A39:F39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2" x14ac:dyDescent="0.25">
      <c r="A1" s="4" t="s">
        <v>70</v>
      </c>
    </row>
    <row r="3" spans="1:2" x14ac:dyDescent="0.25">
      <c r="A3" s="4" t="s">
        <v>71</v>
      </c>
      <c r="B3" s="5" t="e">
        <f>Total_Occupied_Nights / Total_Available_Nights * 100</f>
        <v>#NAME?</v>
      </c>
    </row>
    <row r="4" spans="1:2" x14ac:dyDescent="0.25">
      <c r="A4" s="4" t="s">
        <v>72</v>
      </c>
      <c r="B4" s="5" t="s">
        <v>73</v>
      </c>
    </row>
    <row r="5" spans="1:2" x14ac:dyDescent="0.25">
      <c r="A5" s="4" t="s">
        <v>74</v>
      </c>
      <c r="B5" s="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Property_Data</vt:lpstr>
      <vt:lpstr>Tourism_Arrivals</vt:lpstr>
      <vt:lpstr>Occupancy_Calc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Giovani Saut</cp:lastModifiedBy>
  <dcterms:created xsi:type="dcterms:W3CDTF">2026-05-20T13:53:38Z</dcterms:created>
  <dcterms:modified xsi:type="dcterms:W3CDTF">2026-05-21T17:29:04Z</dcterms:modified>
</cp:coreProperties>
</file>